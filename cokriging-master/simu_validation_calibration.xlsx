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francesca_parrotta_santannapisa_it/Documents/SSSA/PhD/1st year/Numerical modelling/Simulations/custom/"/>
    </mc:Choice>
  </mc:AlternateContent>
  <xr:revisionPtr revIDLastSave="265" documentId="8_{3725FCB9-8D38-4B58-80D3-FCA5153B4FCF}" xr6:coauthVersionLast="47" xr6:coauthVersionMax="47" xr10:uidLastSave="{B2540AD7-664E-45BC-8E1E-35EA5A14A6F2}"/>
  <bookViews>
    <workbookView xWindow="-108" yWindow="-108" windowWidth="23256" windowHeight="12456" xr2:uid="{475EF11E-116B-41E6-8E55-821F1A31EFF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<sst xmlns="http://schemas.openxmlformats.org/spreadsheetml/2006/main" count="13" uniqueCount="13">
  <si>
    <t>Exp Mean  D1</t>
  </si>
  <si>
    <t>Simu D1</t>
  </si>
  <si>
    <t>Exp Mean  D2</t>
  </si>
  <si>
    <t>Simu D2</t>
  </si>
  <si>
    <t>Scale Factor [%]</t>
  </si>
  <si>
    <t>Time [s]</t>
  </si>
  <si>
    <t>6.5</t>
  </si>
  <si>
    <t>5.94</t>
  </si>
  <si>
    <t>18.61</t>
  </si>
  <si>
    <t>New D1</t>
  </si>
  <si>
    <t>New D2</t>
  </si>
  <si>
    <t>polyn Opt D1</t>
  </si>
  <si>
    <t>polyn opt  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</si>
</sst>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05E3D5A3-F30B-41CD-A48D-C0E62B309B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76BA-4614-4C35-A7C2-CB5E469F1B52}">
  <dimension ref="A1:J65"/>
  <sheetViews>
    <sheetView tabSelected="1" topLeftCell="C1" workbookViewId="0">
      <selection activeCell="L34" sqref="L34"/>
    </sheetView>
  </sheetViews>
  <sheetFormatPr defaultRowHeight="14.4" x14ac:dyDescent="0.3"/>
  <cols>
    <col min="1" max="10" width="20.77734375" customWidth="1"/>
  </cols>
  <sheetData>
    <row r="1" spans="1:10" ht="30" customHeight="1" x14ac:dyDescent="0.3">
      <c r="A1" s="2" t="s">
        <v>4</v>
      </c>
      <c r="B1" s="2" t="s">
        <v>5</v>
      </c>
      <c r="C1" s="2" t="s">
        <v>0</v>
      </c>
      <c r="D1" s="2" t="s">
        <v>2</v>
      </c>
      <c r="E1" s="2" t="s">
        <v>1</v>
      </c>
      <c r="F1" s="2" t="s">
        <v>3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ht="30" customHeight="1" x14ac:dyDescent="0.3">
      <c r="A2">
        <v>55</v>
      </c>
      <c r="B2">
        <v>5</v>
      </c>
      <c r="C2" s="1">
        <v>9.59</v>
      </c>
      <c r="D2" s="1">
        <v>3.97</v>
      </c>
      <c r="E2">
        <v>14.262</v>
      </c>
      <c r="F2">
        <f t="shared" ref="F2:F7" si="0">1.7519*2</f>
        <v>3.5038</v>
      </c>
      <c r="G2">
        <v>12.78</v>
      </c>
      <c r="H2">
        <v>2.84</v>
      </c>
      <c r="I2">
        <v>13.1494</v>
      </c>
      <c r="J2">
        <v>2.8578999999999999</v>
      </c>
    </row>
    <row r="3" spans="1:10" ht="30" customHeight="1" x14ac:dyDescent="0.3">
      <c r="A3">
        <v>55</v>
      </c>
      <c r="B3">
        <v>5</v>
      </c>
      <c r="C3" s="1">
        <v>9.5500000000000007</v>
      </c>
      <c r="D3" s="1">
        <v>3.94</v>
      </c>
      <c r="E3">
        <v>14.262</v>
      </c>
      <c r="F3">
        <f t="shared" si="0"/>
        <v>3.5038</v>
      </c>
      <c r="G3">
        <v>12.78</v>
      </c>
      <c r="H3">
        <v>2.84</v>
      </c>
      <c r="I3">
        <v>13.1494</v>
      </c>
      <c r="J3">
        <v>2.8578999999999999</v>
      </c>
    </row>
    <row r="4" spans="1:10" ht="30" customHeight="1" x14ac:dyDescent="0.3">
      <c r="A4">
        <v>55</v>
      </c>
      <c r="B4">
        <v>5</v>
      </c>
      <c r="C4" s="1">
        <v>10.5</v>
      </c>
      <c r="D4" s="1">
        <v>4.25</v>
      </c>
      <c r="E4">
        <v>14.262</v>
      </c>
      <c r="F4">
        <f t="shared" si="0"/>
        <v>3.5038</v>
      </c>
      <c r="G4">
        <v>12.78</v>
      </c>
      <c r="H4">
        <v>2.84</v>
      </c>
      <c r="I4">
        <v>13.1494</v>
      </c>
      <c r="J4">
        <v>2.8578999999999999</v>
      </c>
    </row>
    <row r="5" spans="1:10" ht="30" customHeight="1" x14ac:dyDescent="0.3">
      <c r="A5">
        <v>55</v>
      </c>
      <c r="B5">
        <v>5</v>
      </c>
      <c r="C5" s="1">
        <v>9.19</v>
      </c>
      <c r="D5" s="1">
        <v>3.99</v>
      </c>
      <c r="E5">
        <v>14.262</v>
      </c>
      <c r="F5">
        <f t="shared" si="0"/>
        <v>3.5038</v>
      </c>
      <c r="G5">
        <v>12.78</v>
      </c>
      <c r="H5">
        <v>2.84</v>
      </c>
      <c r="I5">
        <v>13.1494</v>
      </c>
      <c r="J5">
        <v>2.8578999999999999</v>
      </c>
    </row>
    <row r="6" spans="1:10" ht="30" customHeight="1" x14ac:dyDescent="0.3">
      <c r="A6">
        <v>55</v>
      </c>
      <c r="B6">
        <v>5</v>
      </c>
      <c r="C6" s="1">
        <v>14.4</v>
      </c>
      <c r="D6" s="1">
        <v>4.7</v>
      </c>
      <c r="E6">
        <v>14.262</v>
      </c>
      <c r="F6">
        <f t="shared" si="0"/>
        <v>3.5038</v>
      </c>
      <c r="G6">
        <v>12.78</v>
      </c>
      <c r="H6">
        <v>2.84</v>
      </c>
      <c r="I6">
        <v>13.1494</v>
      </c>
      <c r="J6">
        <v>2.8578999999999999</v>
      </c>
    </row>
    <row r="7" spans="1:10" ht="30" customHeight="1" x14ac:dyDescent="0.3">
      <c r="A7">
        <v>55</v>
      </c>
      <c r="B7">
        <v>5</v>
      </c>
      <c r="C7" s="1">
        <v>14.45</v>
      </c>
      <c r="D7" s="1">
        <v>4.74</v>
      </c>
      <c r="E7">
        <v>14.262</v>
      </c>
      <c r="F7">
        <f t="shared" si="0"/>
        <v>3.5038</v>
      </c>
      <c r="G7">
        <v>12.78</v>
      </c>
      <c r="H7">
        <v>2.84</v>
      </c>
      <c r="I7">
        <v>13.1494</v>
      </c>
      <c r="J7">
        <v>2.8578999999999999</v>
      </c>
    </row>
    <row r="8" spans="1:10" ht="30" customHeight="1" x14ac:dyDescent="0.3">
      <c r="A8">
        <v>55</v>
      </c>
      <c r="B8">
        <v>10</v>
      </c>
      <c r="C8" s="1">
        <v>13.94</v>
      </c>
      <c r="D8" s="1">
        <v>5.42</v>
      </c>
      <c r="E8">
        <v>17.268000000000001</v>
      </c>
      <c r="F8">
        <f t="shared" ref="F8:F13" si="1">3.2113*2</f>
        <v>6.4226000000000001</v>
      </c>
      <c r="G8">
        <v>15.15</v>
      </c>
      <c r="H8">
        <v>4.3499999999999996</v>
      </c>
      <c r="I8">
        <v>14.5282</v>
      </c>
      <c r="J8">
        <v>4.3707000000000003</v>
      </c>
    </row>
    <row r="9" spans="1:10" ht="30" customHeight="1" x14ac:dyDescent="0.3">
      <c r="A9">
        <v>55</v>
      </c>
      <c r="B9">
        <v>10</v>
      </c>
      <c r="C9" s="1">
        <v>17.559999999999999</v>
      </c>
      <c r="D9" s="1">
        <v>5.44</v>
      </c>
      <c r="E9">
        <v>17.268000000000001</v>
      </c>
      <c r="F9">
        <f t="shared" si="1"/>
        <v>6.4226000000000001</v>
      </c>
      <c r="G9">
        <v>15.15</v>
      </c>
      <c r="H9">
        <v>4.3499999999999996</v>
      </c>
      <c r="I9">
        <v>14.5282</v>
      </c>
      <c r="J9">
        <v>4.3707000000000003</v>
      </c>
    </row>
    <row r="10" spans="1:10" ht="30" customHeight="1" x14ac:dyDescent="0.3">
      <c r="A10">
        <v>55</v>
      </c>
      <c r="B10">
        <v>10</v>
      </c>
      <c r="C10" s="1">
        <v>17.71</v>
      </c>
      <c r="D10" s="1">
        <v>5.35</v>
      </c>
      <c r="E10">
        <v>17.268000000000001</v>
      </c>
      <c r="F10">
        <f t="shared" si="1"/>
        <v>6.4226000000000001</v>
      </c>
      <c r="G10">
        <v>15.15</v>
      </c>
      <c r="H10">
        <v>4.3499999999999996</v>
      </c>
      <c r="I10">
        <v>14.5282</v>
      </c>
      <c r="J10">
        <v>4.3707000000000003</v>
      </c>
    </row>
    <row r="11" spans="1:10" ht="30" customHeight="1" x14ac:dyDescent="0.3">
      <c r="A11">
        <v>55</v>
      </c>
      <c r="B11">
        <v>10</v>
      </c>
      <c r="C11" s="1">
        <v>12.88</v>
      </c>
      <c r="D11" s="1">
        <v>4.24</v>
      </c>
      <c r="E11">
        <v>17.268000000000001</v>
      </c>
      <c r="F11">
        <f t="shared" si="1"/>
        <v>6.4226000000000001</v>
      </c>
      <c r="G11">
        <v>15.15</v>
      </c>
      <c r="H11">
        <v>4.3499999999999996</v>
      </c>
      <c r="I11">
        <v>14.5282</v>
      </c>
      <c r="J11">
        <v>4.3707000000000003</v>
      </c>
    </row>
    <row r="12" spans="1:10" ht="30" customHeight="1" x14ac:dyDescent="0.3">
      <c r="A12">
        <v>55</v>
      </c>
      <c r="B12">
        <v>10</v>
      </c>
      <c r="C12" s="1">
        <v>11.45</v>
      </c>
      <c r="D12" s="1">
        <v>4.93</v>
      </c>
      <c r="E12">
        <v>17.268000000000001</v>
      </c>
      <c r="F12">
        <f t="shared" si="1"/>
        <v>6.4226000000000001</v>
      </c>
      <c r="G12">
        <v>15.15</v>
      </c>
      <c r="H12">
        <v>4.3499999999999996</v>
      </c>
      <c r="I12">
        <v>14.5282</v>
      </c>
      <c r="J12">
        <v>4.3707000000000003</v>
      </c>
    </row>
    <row r="13" spans="1:10" ht="30" customHeight="1" x14ac:dyDescent="0.3">
      <c r="A13">
        <v>55</v>
      </c>
      <c r="B13">
        <v>10</v>
      </c>
      <c r="C13" s="1">
        <v>15.4</v>
      </c>
      <c r="D13" s="1">
        <v>5.59</v>
      </c>
      <c r="E13">
        <v>17.268000000000001</v>
      </c>
      <c r="F13">
        <f t="shared" si="1"/>
        <v>6.4226000000000001</v>
      </c>
      <c r="G13">
        <v>15.15</v>
      </c>
      <c r="H13">
        <v>4.3499999999999996</v>
      </c>
      <c r="I13">
        <v>14.5282</v>
      </c>
      <c r="J13">
        <v>4.3707000000000003</v>
      </c>
    </row>
    <row r="14" spans="1:10" ht="30" customHeight="1" x14ac:dyDescent="0.3">
      <c r="A14">
        <v>60</v>
      </c>
      <c r="B14">
        <v>5</v>
      </c>
      <c r="C14" s="1">
        <v>10.24</v>
      </c>
      <c r="D14" s="1">
        <v>4.3</v>
      </c>
      <c r="E14">
        <v>14.853</v>
      </c>
      <c r="F14">
        <f t="shared" ref="F14:F19" si="2">2.0466*2</f>
        <v>4.0932000000000004</v>
      </c>
      <c r="G14">
        <v>13.42</v>
      </c>
      <c r="H14">
        <v>3.08</v>
      </c>
      <c r="I14">
        <v>13.8743</v>
      </c>
      <c r="J14">
        <v>3.1745000000000001</v>
      </c>
    </row>
    <row r="15" spans="1:10" ht="30" customHeight="1" x14ac:dyDescent="0.3">
      <c r="A15">
        <v>60</v>
      </c>
      <c r="B15">
        <v>5</v>
      </c>
      <c r="C15" s="1">
        <v>11.42</v>
      </c>
      <c r="D15" s="1">
        <v>4.8899999999999997</v>
      </c>
      <c r="E15">
        <v>14.853</v>
      </c>
      <c r="F15">
        <f t="shared" si="2"/>
        <v>4.0932000000000004</v>
      </c>
      <c r="G15">
        <v>13.42</v>
      </c>
      <c r="H15">
        <v>3.08</v>
      </c>
      <c r="I15">
        <v>13.8743</v>
      </c>
      <c r="J15">
        <v>3.1745000000000001</v>
      </c>
    </row>
    <row r="16" spans="1:10" ht="30" customHeight="1" x14ac:dyDescent="0.3">
      <c r="A16">
        <v>60</v>
      </c>
      <c r="B16">
        <v>5</v>
      </c>
      <c r="C16" s="1">
        <v>10.4</v>
      </c>
      <c r="D16" s="1">
        <v>4.6100000000000003</v>
      </c>
      <c r="E16">
        <v>14.853</v>
      </c>
      <c r="F16">
        <f t="shared" si="2"/>
        <v>4.0932000000000004</v>
      </c>
      <c r="G16">
        <v>13.42</v>
      </c>
      <c r="H16">
        <v>3.08</v>
      </c>
      <c r="I16">
        <v>13.8743</v>
      </c>
      <c r="J16">
        <v>3.1745000000000001</v>
      </c>
    </row>
    <row r="17" spans="1:10" ht="30" customHeight="1" x14ac:dyDescent="0.3">
      <c r="A17">
        <v>60</v>
      </c>
      <c r="B17">
        <v>5</v>
      </c>
      <c r="C17" s="1">
        <v>11.91</v>
      </c>
      <c r="D17" s="1">
        <v>4.4000000000000004</v>
      </c>
      <c r="E17">
        <v>14.853</v>
      </c>
      <c r="F17">
        <f t="shared" si="2"/>
        <v>4.0932000000000004</v>
      </c>
      <c r="G17">
        <v>13.42</v>
      </c>
      <c r="H17">
        <v>3.08</v>
      </c>
      <c r="I17">
        <v>13.8743</v>
      </c>
      <c r="J17">
        <v>3.1745000000000001</v>
      </c>
    </row>
    <row r="18" spans="1:10" ht="30" customHeight="1" x14ac:dyDescent="0.3">
      <c r="A18">
        <v>60</v>
      </c>
      <c r="B18">
        <v>5</v>
      </c>
      <c r="C18" s="1">
        <v>10.84</v>
      </c>
      <c r="D18" s="1">
        <v>4.2</v>
      </c>
      <c r="E18">
        <v>14.853</v>
      </c>
      <c r="F18">
        <f t="shared" si="2"/>
        <v>4.0932000000000004</v>
      </c>
      <c r="G18">
        <v>13.42</v>
      </c>
      <c r="H18">
        <v>3.08</v>
      </c>
      <c r="I18">
        <v>13.8743</v>
      </c>
      <c r="J18">
        <v>3.1745000000000001</v>
      </c>
    </row>
    <row r="19" spans="1:10" ht="30" customHeight="1" x14ac:dyDescent="0.3">
      <c r="A19">
        <v>60</v>
      </c>
      <c r="B19">
        <v>5</v>
      </c>
      <c r="C19" s="1">
        <v>12.47</v>
      </c>
      <c r="D19" s="1">
        <v>6.26</v>
      </c>
      <c r="E19">
        <v>14.853</v>
      </c>
      <c r="F19">
        <f t="shared" si="2"/>
        <v>4.0932000000000004</v>
      </c>
      <c r="G19">
        <v>13.42</v>
      </c>
      <c r="H19">
        <v>3.08</v>
      </c>
      <c r="I19">
        <v>13.8743</v>
      </c>
      <c r="J19">
        <v>3.1745000000000001</v>
      </c>
    </row>
    <row r="20" spans="1:10" ht="30" customHeight="1" x14ac:dyDescent="0.3">
      <c r="A20">
        <v>60</v>
      </c>
      <c r="B20">
        <v>10</v>
      </c>
      <c r="C20" s="1">
        <v>13.5</v>
      </c>
      <c r="D20" s="1" t="s">
        <v>6</v>
      </c>
      <c r="E20">
        <v>18.45</v>
      </c>
      <c r="F20">
        <f t="shared" ref="F20:F25" si="3">3.739*2</f>
        <v>7.4779999999999998</v>
      </c>
      <c r="G20">
        <v>15.99</v>
      </c>
      <c r="H20">
        <v>5.01</v>
      </c>
      <c r="I20">
        <v>15.2502</v>
      </c>
      <c r="J20">
        <v>4.9066999999999998</v>
      </c>
    </row>
    <row r="21" spans="1:10" ht="30" customHeight="1" x14ac:dyDescent="0.3">
      <c r="A21">
        <v>60</v>
      </c>
      <c r="B21">
        <v>10</v>
      </c>
      <c r="C21" s="1">
        <v>13.12</v>
      </c>
      <c r="D21" s="1">
        <v>6.55</v>
      </c>
      <c r="E21">
        <v>18.45</v>
      </c>
      <c r="F21">
        <f t="shared" si="3"/>
        <v>7.4779999999999998</v>
      </c>
      <c r="G21">
        <v>15.99</v>
      </c>
      <c r="H21">
        <v>5.01</v>
      </c>
      <c r="I21">
        <v>15.2502</v>
      </c>
      <c r="J21">
        <v>4.9066999999999998</v>
      </c>
    </row>
    <row r="22" spans="1:10" ht="30" customHeight="1" x14ac:dyDescent="0.3">
      <c r="A22">
        <v>60</v>
      </c>
      <c r="B22">
        <v>10</v>
      </c>
      <c r="C22" s="1">
        <v>14.94</v>
      </c>
      <c r="D22" s="1">
        <v>6.1</v>
      </c>
      <c r="E22">
        <v>18.45</v>
      </c>
      <c r="F22">
        <f t="shared" si="3"/>
        <v>7.4779999999999998</v>
      </c>
      <c r="G22">
        <v>15.99</v>
      </c>
      <c r="H22">
        <v>5.01</v>
      </c>
      <c r="I22">
        <v>15.2502</v>
      </c>
      <c r="J22">
        <v>4.9066999999999998</v>
      </c>
    </row>
    <row r="23" spans="1:10" ht="30" customHeight="1" x14ac:dyDescent="0.3">
      <c r="A23">
        <v>60</v>
      </c>
      <c r="B23">
        <v>10</v>
      </c>
      <c r="C23" s="1">
        <v>13.9</v>
      </c>
      <c r="D23" s="1">
        <v>6.31</v>
      </c>
      <c r="E23">
        <v>18.45</v>
      </c>
      <c r="F23">
        <f t="shared" si="3"/>
        <v>7.4779999999999998</v>
      </c>
      <c r="G23">
        <v>15.99</v>
      </c>
      <c r="H23">
        <v>5.01</v>
      </c>
      <c r="I23">
        <v>15.2502</v>
      </c>
      <c r="J23">
        <v>4.9066999999999998</v>
      </c>
    </row>
    <row r="24" spans="1:10" ht="30" customHeight="1" x14ac:dyDescent="0.3">
      <c r="A24">
        <v>60</v>
      </c>
      <c r="B24">
        <v>10</v>
      </c>
      <c r="C24" s="1">
        <v>16.16</v>
      </c>
      <c r="D24" s="1" t="s">
        <v>7</v>
      </c>
      <c r="E24">
        <v>18.45</v>
      </c>
      <c r="F24">
        <f t="shared" si="3"/>
        <v>7.4779999999999998</v>
      </c>
      <c r="G24">
        <v>15.99</v>
      </c>
      <c r="H24">
        <v>5.01</v>
      </c>
      <c r="I24">
        <v>15.2502</v>
      </c>
      <c r="J24">
        <v>4.9066999999999998</v>
      </c>
    </row>
    <row r="25" spans="1:10" ht="30" customHeight="1" x14ac:dyDescent="0.3">
      <c r="A25">
        <v>60</v>
      </c>
      <c r="B25">
        <v>10</v>
      </c>
      <c r="C25" s="1">
        <v>13.21</v>
      </c>
      <c r="D25" s="1">
        <v>5.08</v>
      </c>
      <c r="E25">
        <v>18.45</v>
      </c>
      <c r="F25">
        <f t="shared" si="3"/>
        <v>7.4779999999999998</v>
      </c>
      <c r="G25">
        <v>15.99</v>
      </c>
      <c r="H25">
        <v>5.01</v>
      </c>
      <c r="I25">
        <v>15.2502</v>
      </c>
      <c r="J25">
        <v>4.9066999999999998</v>
      </c>
    </row>
    <row r="26" spans="1:10" ht="30" customHeight="1" x14ac:dyDescent="0.3">
      <c r="A26">
        <v>65</v>
      </c>
      <c r="B26">
        <v>5</v>
      </c>
      <c r="C26" s="1">
        <v>13.41</v>
      </c>
      <c r="D26" s="1">
        <v>5.26</v>
      </c>
      <c r="E26">
        <v>15.41</v>
      </c>
      <c r="F26">
        <f t="shared" ref="F26:F31" si="4">2.2959*2</f>
        <v>4.5918000000000001</v>
      </c>
      <c r="G26">
        <v>14.08</v>
      </c>
      <c r="H26">
        <v>3.38</v>
      </c>
      <c r="I26">
        <v>14.3819</v>
      </c>
      <c r="J26">
        <v>3.4805999999999999</v>
      </c>
    </row>
    <row r="27" spans="1:10" ht="30" customHeight="1" x14ac:dyDescent="0.3">
      <c r="A27">
        <v>65</v>
      </c>
      <c r="B27">
        <v>5</v>
      </c>
      <c r="C27" s="1">
        <v>16.5</v>
      </c>
      <c r="D27" s="1">
        <v>6.09</v>
      </c>
      <c r="E27">
        <v>15.41</v>
      </c>
      <c r="F27">
        <f t="shared" si="4"/>
        <v>4.5918000000000001</v>
      </c>
      <c r="G27">
        <v>14.08</v>
      </c>
      <c r="H27">
        <v>3.38</v>
      </c>
      <c r="I27">
        <v>14.3819</v>
      </c>
      <c r="J27">
        <v>3.4805999999999999</v>
      </c>
    </row>
    <row r="28" spans="1:10" ht="30" customHeight="1" x14ac:dyDescent="0.3">
      <c r="A28">
        <v>65</v>
      </c>
      <c r="B28">
        <v>5</v>
      </c>
      <c r="C28" s="1">
        <v>19.46</v>
      </c>
      <c r="D28" s="1">
        <v>5.79</v>
      </c>
      <c r="E28">
        <v>15.41</v>
      </c>
      <c r="F28">
        <f t="shared" si="4"/>
        <v>4.5918000000000001</v>
      </c>
      <c r="G28">
        <v>14.08</v>
      </c>
      <c r="H28">
        <v>3.38</v>
      </c>
      <c r="I28">
        <v>14.3819</v>
      </c>
      <c r="J28">
        <v>3.4805999999999999</v>
      </c>
    </row>
    <row r="29" spans="1:10" ht="30" customHeight="1" x14ac:dyDescent="0.3">
      <c r="A29">
        <v>65</v>
      </c>
      <c r="B29">
        <v>5</v>
      </c>
      <c r="C29" s="1">
        <v>16.440000000000001</v>
      </c>
      <c r="D29" s="1">
        <v>5.6</v>
      </c>
      <c r="E29">
        <v>15.41</v>
      </c>
      <c r="F29">
        <f t="shared" si="4"/>
        <v>4.5918000000000001</v>
      </c>
      <c r="G29">
        <v>14.08</v>
      </c>
      <c r="H29">
        <v>3.38</v>
      </c>
      <c r="I29">
        <v>14.3819</v>
      </c>
      <c r="J29">
        <v>3.4805999999999999</v>
      </c>
    </row>
    <row r="30" spans="1:10" ht="30" customHeight="1" x14ac:dyDescent="0.3">
      <c r="A30">
        <v>65</v>
      </c>
      <c r="B30">
        <v>5</v>
      </c>
      <c r="C30" s="1">
        <v>13.9</v>
      </c>
      <c r="D30" s="1">
        <v>5.69</v>
      </c>
      <c r="E30">
        <v>15.41</v>
      </c>
      <c r="F30">
        <f t="shared" si="4"/>
        <v>4.5918000000000001</v>
      </c>
      <c r="G30">
        <v>14.08</v>
      </c>
      <c r="H30">
        <v>3.38</v>
      </c>
      <c r="I30">
        <v>14.3819</v>
      </c>
      <c r="J30">
        <v>3.4805999999999999</v>
      </c>
    </row>
    <row r="31" spans="1:10" ht="30" customHeight="1" x14ac:dyDescent="0.3">
      <c r="A31">
        <v>65</v>
      </c>
      <c r="B31">
        <v>5</v>
      </c>
      <c r="C31" s="1">
        <v>14.58</v>
      </c>
      <c r="D31" s="1">
        <v>5.74</v>
      </c>
      <c r="E31">
        <v>15.41</v>
      </c>
      <c r="F31">
        <f t="shared" si="4"/>
        <v>4.5918000000000001</v>
      </c>
      <c r="G31">
        <v>14.08</v>
      </c>
      <c r="H31">
        <v>3.38</v>
      </c>
      <c r="I31">
        <v>14.3819</v>
      </c>
      <c r="J31">
        <v>3.4805999999999999</v>
      </c>
    </row>
    <row r="32" spans="1:10" ht="30" customHeight="1" x14ac:dyDescent="0.3">
      <c r="A32">
        <v>65</v>
      </c>
      <c r="B32">
        <v>10</v>
      </c>
      <c r="C32" s="1">
        <v>16.45</v>
      </c>
      <c r="D32" s="1">
        <v>8.14</v>
      </c>
      <c r="E32">
        <v>19.53</v>
      </c>
      <c r="F32">
        <f t="shared" ref="F32:F37" si="5">4.218*2</f>
        <v>8.4359999999999999</v>
      </c>
      <c r="G32">
        <v>16.920000000000002</v>
      </c>
      <c r="H32">
        <v>5.85</v>
      </c>
      <c r="I32">
        <v>15.755000000000001</v>
      </c>
      <c r="J32">
        <v>5.4320000000000004</v>
      </c>
    </row>
    <row r="33" spans="1:10" ht="30" customHeight="1" x14ac:dyDescent="0.3">
      <c r="A33">
        <v>65</v>
      </c>
      <c r="B33">
        <v>10</v>
      </c>
      <c r="C33" s="1">
        <v>17.97</v>
      </c>
      <c r="D33" s="1">
        <v>6.3</v>
      </c>
      <c r="E33">
        <v>19.53</v>
      </c>
      <c r="F33">
        <f t="shared" si="5"/>
        <v>8.4359999999999999</v>
      </c>
      <c r="G33">
        <v>16.920000000000002</v>
      </c>
      <c r="H33">
        <v>5.85</v>
      </c>
      <c r="I33">
        <v>15.755000000000001</v>
      </c>
      <c r="J33">
        <v>5.4320000000000004</v>
      </c>
    </row>
    <row r="34" spans="1:10" ht="30" customHeight="1" x14ac:dyDescent="0.3">
      <c r="A34">
        <v>65</v>
      </c>
      <c r="B34">
        <v>10</v>
      </c>
      <c r="C34" s="1">
        <v>18.2</v>
      </c>
      <c r="D34" s="1">
        <v>6.21</v>
      </c>
      <c r="E34">
        <v>19.53</v>
      </c>
      <c r="F34">
        <f t="shared" si="5"/>
        <v>8.4359999999999999</v>
      </c>
      <c r="G34">
        <v>16.920000000000002</v>
      </c>
      <c r="H34">
        <v>5.85</v>
      </c>
      <c r="I34">
        <v>15.755000000000001</v>
      </c>
      <c r="J34">
        <v>5.4320000000000004</v>
      </c>
    </row>
    <row r="35" spans="1:10" ht="30" customHeight="1" x14ac:dyDescent="0.3">
      <c r="A35">
        <v>65</v>
      </c>
      <c r="B35">
        <v>10</v>
      </c>
      <c r="C35" s="1">
        <v>15.7</v>
      </c>
      <c r="D35" s="1">
        <v>7.25</v>
      </c>
      <c r="E35">
        <v>19.53</v>
      </c>
      <c r="F35">
        <f t="shared" si="5"/>
        <v>8.4359999999999999</v>
      </c>
      <c r="G35">
        <v>16.920000000000002</v>
      </c>
      <c r="H35">
        <v>5.85</v>
      </c>
      <c r="I35">
        <v>15.755000000000001</v>
      </c>
      <c r="J35">
        <v>5.4320000000000004</v>
      </c>
    </row>
    <row r="36" spans="1:10" ht="30" customHeight="1" x14ac:dyDescent="0.3">
      <c r="A36">
        <v>65</v>
      </c>
      <c r="B36">
        <v>10</v>
      </c>
      <c r="C36" s="1" t="s">
        <v>8</v>
      </c>
      <c r="D36" s="1">
        <v>6.25</v>
      </c>
      <c r="E36">
        <v>19.53</v>
      </c>
      <c r="F36">
        <f t="shared" si="5"/>
        <v>8.4359999999999999</v>
      </c>
      <c r="G36">
        <v>16.920000000000002</v>
      </c>
      <c r="H36">
        <v>5.85</v>
      </c>
      <c r="I36">
        <v>15.755000000000001</v>
      </c>
      <c r="J36">
        <v>5.4320000000000004</v>
      </c>
    </row>
    <row r="37" spans="1:10" ht="30" customHeight="1" x14ac:dyDescent="0.3">
      <c r="A37">
        <v>65</v>
      </c>
      <c r="B37">
        <v>10</v>
      </c>
      <c r="C37" s="1">
        <v>17.68</v>
      </c>
      <c r="D37" s="1">
        <v>7.29</v>
      </c>
      <c r="E37">
        <v>19.53</v>
      </c>
      <c r="F37">
        <f t="shared" si="5"/>
        <v>8.4359999999999999</v>
      </c>
      <c r="G37">
        <v>16.920000000000002</v>
      </c>
      <c r="H37">
        <v>5.85</v>
      </c>
      <c r="I37">
        <v>15.755000000000001</v>
      </c>
      <c r="J37">
        <v>5.4320000000000004</v>
      </c>
    </row>
    <row r="38" spans="1:10" ht="30" customHeight="1" x14ac:dyDescent="0.3"/>
    <row r="39" spans="1:10" ht="30" customHeight="1" x14ac:dyDescent="0.3"/>
    <row r="40" spans="1:10" ht="30" customHeight="1" x14ac:dyDescent="0.3"/>
    <row r="41" spans="1:10" ht="30" customHeight="1" x14ac:dyDescent="0.3"/>
    <row r="42" spans="1:10" ht="30" customHeight="1" x14ac:dyDescent="0.3"/>
    <row r="43" spans="1:10" ht="30" customHeight="1" x14ac:dyDescent="0.3"/>
    <row r="44" spans="1:10" ht="30" customHeight="1" x14ac:dyDescent="0.3"/>
    <row r="45" spans="1:10" ht="30" customHeight="1" x14ac:dyDescent="0.3"/>
    <row r="46" spans="1:10" ht="30" customHeight="1" x14ac:dyDescent="0.3"/>
    <row r="47" spans="1:10" ht="30" customHeight="1" x14ac:dyDescent="0.3"/>
    <row r="48" spans="1:10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Parrotta</dc:creator>
  <cp:lastModifiedBy>Francesca Parrotta</cp:lastModifiedBy>
  <dcterms:created xsi:type="dcterms:W3CDTF">2025-03-05T09:06:23Z</dcterms:created>
  <dcterms:modified xsi:type="dcterms:W3CDTF">2025-10-21T07:31:11Z</dcterms:modified>
</cp:coreProperties>
</file>